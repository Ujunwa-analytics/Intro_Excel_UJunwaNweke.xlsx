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sgolden\Documents\"/>
    </mc:Choice>
  </mc:AlternateContent>
  <xr:revisionPtr revIDLastSave="0" documentId="8_{3F58D98B-6E9C-4E59-9269-6F4EA4DE77FF}" xr6:coauthVersionLast="47" xr6:coauthVersionMax="47" xr10:uidLastSave="{00000000-0000-0000-0000-000000000000}"/>
  <bookViews>
    <workbookView xWindow="-120" yWindow="-120" windowWidth="20730" windowHeight="11040" xr2:uid="{C034E9DD-C63E-4C3C-9F14-416259431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6" i="1" l="1"/>
  <c r="E76" i="1"/>
  <c r="F73" i="1"/>
  <c r="F72" i="1"/>
  <c r="D76" i="1"/>
  <c r="E73" i="1"/>
  <c r="D73" i="1"/>
  <c r="E72" i="1"/>
  <c r="D7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3" i="1"/>
  <c r="E2" i="1"/>
</calcChain>
</file>

<file path=xl/sharedStrings.xml><?xml version="1.0" encoding="utf-8"?>
<sst xmlns="http://schemas.openxmlformats.org/spreadsheetml/2006/main" count="80" uniqueCount="79">
  <si>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</si>
  <si>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</si>
  <si>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</si>
  <si>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</si>
  <si>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</si>
  <si>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</si>
  <si>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</si>
  <si>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</si>
  <si>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</si>
  <si>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</si>
  <si>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</si>
  <si>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</si>
  <si>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</si>
  <si>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</si>
  <si>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</si>
  <si>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</si>
  <si>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</si>
  <si>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</si>
  <si>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</si>
  <si>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</si>
  <si>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</si>
  <si>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</si>
  <si>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</si>
  <si>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</si>
  <si>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</si>
  <si>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</si>
  <si>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</si>
  <si>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</si>
  <si>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</si>
  <si>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</si>
  <si>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</si>
  <si>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</si>
  <si>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</si>
  <si>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</si>
  <si>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</si>
  <si>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</si>
  <si>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</si>
  <si>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</si>
  <si>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</si>
  <si>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</si>
  <si>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</si>
  <si>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</si>
  <si>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</si>
  <si>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</si>
  <si>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</si>
  <si>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</si>
  <si>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</si>
  <si>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</si>
  <si>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</si>
  <si>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</si>
  <si>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</si>
  <si>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</si>
  <si>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</si>
  <si>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</si>
  <si>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</si>
  <si>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</si>
  <si>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</si>
  <si>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</si>
  <si>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</si>
  <si>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</si>
  <si>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</si>
  <si>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</si>
  <si>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</si>
  <si>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</si>
  <si>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</si>
  <si>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</si>
  <si>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</si>
  <si>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</si>
  <si>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</si>
  <si>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</si>
  <si>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</si>
  <si>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</si>
  <si>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</si>
  <si>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</si>
  <si>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</si>
  <si>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</si>
  <si>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Number of employees:</t>
  </si>
  <si>
    <t>Total: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</si>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</sst>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8" formatCode="0.0"/>
    <numFmt numFmtId="171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right" wrapText="1"/>
    </xf>
    <xf numFmtId="8" fontId="0" fillId="0" borderId="1" xfId="0" applyNumberFormat="1" applyBorder="1" applyAlignment="1">
      <alignment horizontal="right" wrapText="1"/>
    </xf>
    <xf numFmtId="168" fontId="0" fillId="0" borderId="1" xfId="0" applyNumberFormat="1" applyBorder="1" applyAlignment="1">
      <alignment horizontal="right" wrapText="1"/>
    </xf>
    <xf numFmtId="168" fontId="0" fillId="0" borderId="1" xfId="0" applyNumberFormat="1" applyBorder="1" applyAlignment="1">
      <alignment wrapText="1"/>
    </xf>
    <xf numFmtId="168" fontId="0" fillId="0" borderId="0" xfId="0" applyNumberFormat="1"/>
    <xf numFmtId="0" fontId="1" fillId="0" borderId="0" xfId="0" applyFont="1"/>
    <xf numFmtId="171" fontId="0" fillId="0" borderId="1" xfId="0" applyNumberFormat="1" applyBorder="1" applyAlignment="1">
      <alignment horizontal="right" wrapText="1"/>
    </xf>
    <xf numFmtId="171" fontId="0" fillId="0" borderId="0" xfId="0" applyNumberFormat="1"/>
    <xf numFmtId="0" fontId="1" fillId="0" borderId="2" xfId="0" applyFont="1" applyBorder="1" applyAlignment="1">
      <alignment wrapText="1"/>
    </xf>
    <xf numFmtId="171" fontId="1" fillId="0" borderId="2" xfId="0" applyNumberFormat="1" applyFont="1" applyBorder="1" applyAlignment="1">
      <alignment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ACA75D-361C-426D-96B4-DF33904EBA08}" name="Table1" displayName="Table1" ref="A1:F76" totalsRowShown="0" headerRowDxfId="0" headerRowBorderDxfId="2" tableBorderDxfId="3">
  <autoFilter ref="A1:F76" xr:uid="{59ACA75D-361C-426D-96B4-DF33904EBA08}"/>
  <tableColumns count="6">
    <tableColumn id="1" xr3:uid="{5A7CCA4D-E4E5-4013-BFD6-43FAE3676B29}" name="Employee ID"/>
    <tableColumn id="2" xr3:uid="{838A0BEC-BA3F-4235-960F-A4E1A902E3A8}" name="Name"/>
    <tableColumn id="3" xr3:uid="{7E30D65B-5884-4E1B-B6ED-148691EFAD2E}" name="Hourly Wage" dataDxfId="1"/>
    <tableColumn id="4" xr3:uid="{0869101E-D438-4ED3-BCCD-281CE4AF0AA9}" name="Hours Worked"/>
    <tableColumn id="5" xr3:uid="{7C4ED21B-FC5A-467C-BF3F-B116A0FF7560}" name="Taxable Income"/>
    <tableColumn id="6" xr3:uid="{2060905C-6EC1-491F-B678-F4212B180BE3}" name="Taxes to Be Pa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09B3-DFEF-439C-9116-74E94EBCBDC4}">
  <dimension ref="A1:G76"/>
  <sheetViews>
    <sheetView tabSelected="1" workbookViewId="0">
      <selection activeCell="D85" sqref="D85"/>
    </sheetView>
  </sheetViews>
  <sheetFormatPr defaultRowHeight="15" x14ac:dyDescent="0.25"/>
  <cols>
    <col min="1" max="4" width="16.7109375" customWidth="1"/>
    <col min="5" max="5" width="17" customWidth="1"/>
    <col min="6" max="6" width="17.42578125" customWidth="1"/>
    <col min="7" max="7" width="16.7109375" customWidth="1"/>
  </cols>
  <sheetData>
    <row r="1" spans="1:7" ht="15.75" thickBot="1" x14ac:dyDescent="0.3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2" t="s">
        <v>6</v>
      </c>
    </row>
    <row r="2" spans="1:7" ht="15.75" thickBot="1" x14ac:dyDescent="0.3">
      <c r="A2" s="3">
        <v>1</v>
      </c>
      <c r="B2" s="1" t="s">
        <v>7</v>
      </c>
      <c r="C2" s="4">
        <v>15.25</v>
      </c>
      <c r="D2" s="9">
        <v>158</v>
      </c>
      <c r="E2" s="4">
        <f>C2*D2</f>
        <v>2409.5</v>
      </c>
      <c r="F2" s="4">
        <f>E2*G$2</f>
        <v>192.76</v>
      </c>
      <c r="G2" s="1">
        <v>0.08</v>
      </c>
    </row>
    <row r="3" spans="1:7" ht="15.75" thickBot="1" x14ac:dyDescent="0.3">
      <c r="A3" s="3">
        <v>2</v>
      </c>
      <c r="B3" s="1" t="s">
        <v>8</v>
      </c>
      <c r="C3" s="4">
        <v>15.5</v>
      </c>
      <c r="D3" s="9">
        <v>160</v>
      </c>
      <c r="E3" s="4">
        <f>C3*D3</f>
        <v>2480</v>
      </c>
      <c r="F3" s="4">
        <f t="shared" ref="F3:F66" si="0">E3*G$2</f>
        <v>198.4</v>
      </c>
      <c r="G3" s="1"/>
    </row>
    <row r="4" spans="1:7" ht="15.75" thickBot="1" x14ac:dyDescent="0.3">
      <c r="A4" s="3">
        <v>3</v>
      </c>
      <c r="B4" s="1" t="s">
        <v>9</v>
      </c>
      <c r="C4" s="4">
        <v>16</v>
      </c>
      <c r="D4" s="9">
        <v>125</v>
      </c>
      <c r="E4" s="4">
        <f t="shared" ref="E4:E67" si="1">C4*D4</f>
        <v>2000</v>
      </c>
      <c r="F4" s="4">
        <f t="shared" si="0"/>
        <v>160</v>
      </c>
      <c r="G4" s="1"/>
    </row>
    <row r="5" spans="1:7" ht="15.75" thickBot="1" x14ac:dyDescent="0.3">
      <c r="A5" s="3">
        <v>4</v>
      </c>
      <c r="B5" s="1" t="s">
        <v>10</v>
      </c>
      <c r="C5" s="4">
        <v>11.75</v>
      </c>
      <c r="D5" s="9">
        <v>165</v>
      </c>
      <c r="E5" s="4">
        <f t="shared" si="1"/>
        <v>1938.75</v>
      </c>
      <c r="F5" s="4">
        <f t="shared" si="0"/>
        <v>155.1</v>
      </c>
      <c r="G5" s="1"/>
    </row>
    <row r="6" spans="1:7" ht="15.75" thickBot="1" x14ac:dyDescent="0.3">
      <c r="A6" s="3">
        <v>5</v>
      </c>
      <c r="B6" s="1" t="s">
        <v>11</v>
      </c>
      <c r="C6" s="4">
        <v>15.5</v>
      </c>
      <c r="D6" s="9">
        <v>144</v>
      </c>
      <c r="E6" s="4">
        <f t="shared" si="1"/>
        <v>2232</v>
      </c>
      <c r="F6" s="4">
        <f t="shared" si="0"/>
        <v>178.56</v>
      </c>
      <c r="G6" s="1"/>
    </row>
    <row r="7" spans="1:7" s="7" customFormat="1" ht="15.75" thickBot="1" x14ac:dyDescent="0.3">
      <c r="A7" s="5">
        <v>6</v>
      </c>
      <c r="B7" s="6" t="s">
        <v>12</v>
      </c>
      <c r="C7" s="5">
        <v>17.8</v>
      </c>
      <c r="D7" s="9">
        <v>174</v>
      </c>
      <c r="E7" s="4">
        <f t="shared" si="1"/>
        <v>3097.2000000000003</v>
      </c>
      <c r="F7" s="4">
        <f t="shared" si="0"/>
        <v>247.77600000000004</v>
      </c>
      <c r="G7" s="6"/>
    </row>
    <row r="8" spans="1:7" ht="15.75" thickBot="1" x14ac:dyDescent="0.3">
      <c r="A8" s="3">
        <v>7</v>
      </c>
      <c r="B8" s="1" t="s">
        <v>13</v>
      </c>
      <c r="C8" s="4">
        <v>13.75</v>
      </c>
      <c r="D8" s="9">
        <v>161</v>
      </c>
      <c r="E8" s="4">
        <f t="shared" si="1"/>
        <v>2213.75</v>
      </c>
      <c r="F8" s="4">
        <f t="shared" si="0"/>
        <v>177.1</v>
      </c>
      <c r="G8" s="1"/>
    </row>
    <row r="9" spans="1:7" ht="15.75" thickBot="1" x14ac:dyDescent="0.3">
      <c r="A9" s="3">
        <v>8</v>
      </c>
      <c r="B9" s="1" t="s">
        <v>14</v>
      </c>
      <c r="C9" s="4">
        <v>15.5</v>
      </c>
      <c r="D9" s="9">
        <v>69</v>
      </c>
      <c r="E9" s="4">
        <f t="shared" si="1"/>
        <v>1069.5</v>
      </c>
      <c r="F9" s="4">
        <f t="shared" si="0"/>
        <v>85.56</v>
      </c>
      <c r="G9" s="1"/>
    </row>
    <row r="10" spans="1:7" ht="15.75" thickBot="1" x14ac:dyDescent="0.3">
      <c r="A10" s="3">
        <v>9</v>
      </c>
      <c r="B10" s="1" t="s">
        <v>15</v>
      </c>
      <c r="C10" s="4">
        <v>13.75</v>
      </c>
      <c r="D10" s="9">
        <v>85</v>
      </c>
      <c r="E10" s="4">
        <f t="shared" si="1"/>
        <v>1168.75</v>
      </c>
      <c r="F10" s="4">
        <f t="shared" si="0"/>
        <v>93.5</v>
      </c>
      <c r="G10" s="1"/>
    </row>
    <row r="11" spans="1:7" ht="15.75" thickBot="1" x14ac:dyDescent="0.3">
      <c r="A11" s="3">
        <v>10</v>
      </c>
      <c r="B11" s="1" t="s">
        <v>16</v>
      </c>
      <c r="C11" s="4">
        <v>16.5</v>
      </c>
      <c r="D11" s="9">
        <v>117</v>
      </c>
      <c r="E11" s="4">
        <f t="shared" si="1"/>
        <v>1930.5</v>
      </c>
      <c r="F11" s="4">
        <f t="shared" si="0"/>
        <v>154.44</v>
      </c>
      <c r="G11" s="1"/>
    </row>
    <row r="12" spans="1:7" ht="15.75" thickBot="1" x14ac:dyDescent="0.3">
      <c r="A12" s="3">
        <v>11</v>
      </c>
      <c r="B12" s="1" t="s">
        <v>17</v>
      </c>
      <c r="C12" s="4">
        <v>12</v>
      </c>
      <c r="D12" s="9">
        <v>160</v>
      </c>
      <c r="E12" s="4">
        <f t="shared" si="1"/>
        <v>1920</v>
      </c>
      <c r="F12" s="4">
        <f t="shared" si="0"/>
        <v>153.6</v>
      </c>
      <c r="G12" s="1"/>
    </row>
    <row r="13" spans="1:7" ht="15.75" thickBot="1" x14ac:dyDescent="0.3">
      <c r="A13" s="3">
        <v>12</v>
      </c>
      <c r="B13" s="1" t="s">
        <v>18</v>
      </c>
      <c r="C13" s="4">
        <v>19.5</v>
      </c>
      <c r="D13" s="9">
        <v>152</v>
      </c>
      <c r="E13" s="4">
        <f t="shared" si="1"/>
        <v>2964</v>
      </c>
      <c r="F13" s="4">
        <f t="shared" si="0"/>
        <v>237.12</v>
      </c>
      <c r="G13" s="1"/>
    </row>
    <row r="14" spans="1:7" s="7" customFormat="1" ht="15.75" thickBot="1" x14ac:dyDescent="0.3">
      <c r="A14" s="5">
        <v>13</v>
      </c>
      <c r="B14" s="6" t="s">
        <v>19</v>
      </c>
      <c r="C14" s="5">
        <v>11.75</v>
      </c>
      <c r="D14" s="9">
        <v>129</v>
      </c>
      <c r="E14" s="4">
        <f t="shared" si="1"/>
        <v>1515.75</v>
      </c>
      <c r="F14" s="4">
        <f t="shared" si="0"/>
        <v>121.26</v>
      </c>
      <c r="G14" s="6"/>
    </row>
    <row r="15" spans="1:7" ht="15.75" thickBot="1" x14ac:dyDescent="0.3">
      <c r="A15" s="3">
        <v>14</v>
      </c>
      <c r="B15" s="1" t="s">
        <v>20</v>
      </c>
      <c r="C15" s="4">
        <v>12</v>
      </c>
      <c r="D15" s="9">
        <v>74</v>
      </c>
      <c r="E15" s="4">
        <f t="shared" si="1"/>
        <v>888</v>
      </c>
      <c r="F15" s="4">
        <f t="shared" si="0"/>
        <v>71.040000000000006</v>
      </c>
      <c r="G15" s="1"/>
    </row>
    <row r="16" spans="1:7" ht="15.75" thickBot="1" x14ac:dyDescent="0.3">
      <c r="A16" s="3">
        <v>15</v>
      </c>
      <c r="B16" s="1" t="s">
        <v>21</v>
      </c>
      <c r="C16" s="4">
        <v>19</v>
      </c>
      <c r="D16" s="9">
        <v>111</v>
      </c>
      <c r="E16" s="4">
        <f t="shared" si="1"/>
        <v>2109</v>
      </c>
      <c r="F16" s="4">
        <f t="shared" si="0"/>
        <v>168.72</v>
      </c>
      <c r="G16" s="1"/>
    </row>
    <row r="17" spans="1:7" ht="15.75" thickBot="1" x14ac:dyDescent="0.3">
      <c r="A17" s="3">
        <v>16</v>
      </c>
      <c r="B17" s="1" t="s">
        <v>22</v>
      </c>
      <c r="C17" s="4">
        <v>17</v>
      </c>
      <c r="D17" s="9">
        <v>132</v>
      </c>
      <c r="E17" s="4">
        <f t="shared" si="1"/>
        <v>2244</v>
      </c>
      <c r="F17" s="4">
        <f t="shared" si="0"/>
        <v>179.52</v>
      </c>
      <c r="G17" s="1"/>
    </row>
    <row r="18" spans="1:7" ht="15.75" thickBot="1" x14ac:dyDescent="0.3">
      <c r="A18" s="3">
        <v>17</v>
      </c>
      <c r="B18" s="1" t="s">
        <v>23</v>
      </c>
      <c r="C18" s="4">
        <v>19</v>
      </c>
      <c r="D18" s="9">
        <v>168</v>
      </c>
      <c r="E18" s="4">
        <f t="shared" si="1"/>
        <v>3192</v>
      </c>
      <c r="F18" s="4">
        <f t="shared" si="0"/>
        <v>255.36</v>
      </c>
      <c r="G18" s="1"/>
    </row>
    <row r="19" spans="1:7" ht="15.75" thickBot="1" x14ac:dyDescent="0.3">
      <c r="A19" s="3">
        <v>18</v>
      </c>
      <c r="B19" s="1" t="s">
        <v>24</v>
      </c>
      <c r="C19" s="4">
        <v>16</v>
      </c>
      <c r="D19" s="9">
        <v>187</v>
      </c>
      <c r="E19" s="4">
        <f t="shared" si="1"/>
        <v>2992</v>
      </c>
      <c r="F19" s="4">
        <f t="shared" si="0"/>
        <v>239.36</v>
      </c>
      <c r="G19" s="1"/>
    </row>
    <row r="20" spans="1:7" ht="15.75" thickBot="1" x14ac:dyDescent="0.3">
      <c r="A20" s="3">
        <v>19</v>
      </c>
      <c r="B20" s="1" t="s">
        <v>25</v>
      </c>
      <c r="C20" s="4">
        <v>18</v>
      </c>
      <c r="D20" s="9">
        <v>70</v>
      </c>
      <c r="E20" s="4">
        <f t="shared" si="1"/>
        <v>1260</v>
      </c>
      <c r="F20" s="4">
        <f t="shared" si="0"/>
        <v>100.8</v>
      </c>
      <c r="G20" s="1"/>
    </row>
    <row r="21" spans="1:7" ht="15.75" thickBot="1" x14ac:dyDescent="0.3">
      <c r="A21" s="3">
        <v>20</v>
      </c>
      <c r="B21" s="1" t="s">
        <v>26</v>
      </c>
      <c r="C21" s="4">
        <v>16.5</v>
      </c>
      <c r="D21" s="9">
        <v>138</v>
      </c>
      <c r="E21" s="4">
        <f t="shared" si="1"/>
        <v>2277</v>
      </c>
      <c r="F21" s="4">
        <f t="shared" si="0"/>
        <v>182.16</v>
      </c>
      <c r="G21" s="1"/>
    </row>
    <row r="22" spans="1:7" ht="15.75" thickBot="1" x14ac:dyDescent="0.3">
      <c r="A22" s="3">
        <v>21</v>
      </c>
      <c r="B22" s="1" t="s">
        <v>27</v>
      </c>
      <c r="C22" s="4">
        <v>13</v>
      </c>
      <c r="D22" s="9">
        <v>72</v>
      </c>
      <c r="E22" s="4">
        <f t="shared" si="1"/>
        <v>936</v>
      </c>
      <c r="F22" s="4">
        <f t="shared" si="0"/>
        <v>74.88</v>
      </c>
      <c r="G22" s="1"/>
    </row>
    <row r="23" spans="1:7" ht="15.75" thickBot="1" x14ac:dyDescent="0.3">
      <c r="A23" s="3">
        <v>22</v>
      </c>
      <c r="B23" s="1" t="s">
        <v>28</v>
      </c>
      <c r="C23" s="4">
        <v>12</v>
      </c>
      <c r="D23" s="9">
        <v>130</v>
      </c>
      <c r="E23" s="4">
        <f t="shared" si="1"/>
        <v>1560</v>
      </c>
      <c r="F23" s="4">
        <f t="shared" si="0"/>
        <v>124.8</v>
      </c>
      <c r="G23" s="1"/>
    </row>
    <row r="24" spans="1:7" ht="15.75" thickBot="1" x14ac:dyDescent="0.3">
      <c r="A24" s="3">
        <v>23</v>
      </c>
      <c r="B24" s="1" t="s">
        <v>29</v>
      </c>
      <c r="C24" s="4">
        <v>18</v>
      </c>
      <c r="D24" s="9">
        <v>208</v>
      </c>
      <c r="E24" s="4">
        <f t="shared" si="1"/>
        <v>3744</v>
      </c>
      <c r="F24" s="4">
        <f t="shared" si="0"/>
        <v>299.52</v>
      </c>
      <c r="G24" s="1"/>
    </row>
    <row r="25" spans="1:7" ht="15.75" thickBot="1" x14ac:dyDescent="0.3">
      <c r="A25" s="3">
        <v>24</v>
      </c>
      <c r="B25" s="1" t="s">
        <v>30</v>
      </c>
      <c r="C25" s="4">
        <v>22</v>
      </c>
      <c r="D25" s="9">
        <v>97</v>
      </c>
      <c r="E25" s="4">
        <f t="shared" si="1"/>
        <v>2134</v>
      </c>
      <c r="F25" s="4">
        <f t="shared" si="0"/>
        <v>170.72</v>
      </c>
      <c r="G25" s="1"/>
    </row>
    <row r="26" spans="1:7" ht="15.75" thickBot="1" x14ac:dyDescent="0.3">
      <c r="A26" s="3">
        <v>25</v>
      </c>
      <c r="B26" s="1" t="s">
        <v>31</v>
      </c>
      <c r="C26" s="4">
        <v>32</v>
      </c>
      <c r="D26" s="9">
        <v>199</v>
      </c>
      <c r="E26" s="4">
        <f t="shared" si="1"/>
        <v>6368</v>
      </c>
      <c r="F26" s="4">
        <f t="shared" si="0"/>
        <v>509.44</v>
      </c>
      <c r="G26" s="1"/>
    </row>
    <row r="27" spans="1:7" ht="15.75" thickBot="1" x14ac:dyDescent="0.3">
      <c r="A27" s="3">
        <v>26</v>
      </c>
      <c r="B27" s="1" t="s">
        <v>28</v>
      </c>
      <c r="C27" s="4">
        <v>11</v>
      </c>
      <c r="D27" s="9">
        <v>160</v>
      </c>
      <c r="E27" s="4">
        <f t="shared" si="1"/>
        <v>1760</v>
      </c>
      <c r="F27" s="4">
        <f t="shared" si="0"/>
        <v>140.80000000000001</v>
      </c>
      <c r="G27" s="1"/>
    </row>
    <row r="28" spans="1:7" ht="15.75" thickBot="1" x14ac:dyDescent="0.3">
      <c r="A28" s="3">
        <v>27</v>
      </c>
      <c r="B28" s="1" t="s">
        <v>32</v>
      </c>
      <c r="C28" s="4">
        <v>14</v>
      </c>
      <c r="D28" s="9">
        <v>156</v>
      </c>
      <c r="E28" s="4">
        <f t="shared" si="1"/>
        <v>2184</v>
      </c>
      <c r="F28" s="4">
        <f t="shared" si="0"/>
        <v>174.72</v>
      </c>
      <c r="G28" s="1"/>
    </row>
    <row r="29" spans="1:7" ht="15.75" thickBot="1" x14ac:dyDescent="0.3">
      <c r="A29" s="3">
        <v>28</v>
      </c>
      <c r="B29" s="1" t="s">
        <v>33</v>
      </c>
      <c r="C29" s="4">
        <v>15.5</v>
      </c>
      <c r="D29" s="9">
        <v>117</v>
      </c>
      <c r="E29" s="4">
        <f t="shared" si="1"/>
        <v>1813.5</v>
      </c>
      <c r="F29" s="4">
        <f t="shared" si="0"/>
        <v>145.08000000000001</v>
      </c>
      <c r="G29" s="1"/>
    </row>
    <row r="30" spans="1:7" ht="15.75" thickBot="1" x14ac:dyDescent="0.3">
      <c r="A30" s="3">
        <v>29</v>
      </c>
      <c r="B30" s="1" t="s">
        <v>34</v>
      </c>
      <c r="C30" s="4">
        <v>15</v>
      </c>
      <c r="D30" s="9">
        <v>76</v>
      </c>
      <c r="E30" s="4">
        <f t="shared" si="1"/>
        <v>1140</v>
      </c>
      <c r="F30" s="4">
        <f t="shared" si="0"/>
        <v>91.2</v>
      </c>
      <c r="G30" s="1"/>
    </row>
    <row r="31" spans="1:7" ht="15.75" thickBot="1" x14ac:dyDescent="0.3">
      <c r="A31" s="3">
        <v>30</v>
      </c>
      <c r="B31" s="1" t="s">
        <v>35</v>
      </c>
      <c r="C31" s="4">
        <v>12</v>
      </c>
      <c r="D31" s="9">
        <v>175</v>
      </c>
      <c r="E31" s="4">
        <f t="shared" si="1"/>
        <v>2100</v>
      </c>
      <c r="F31" s="4">
        <f t="shared" si="0"/>
        <v>168</v>
      </c>
      <c r="G31" s="1"/>
    </row>
    <row r="32" spans="1:7" ht="15.75" thickBot="1" x14ac:dyDescent="0.3">
      <c r="A32" s="3">
        <v>31</v>
      </c>
      <c r="B32" s="1" t="s">
        <v>36</v>
      </c>
      <c r="C32" s="4">
        <v>15.5</v>
      </c>
      <c r="D32" s="9">
        <v>87</v>
      </c>
      <c r="E32" s="4">
        <f t="shared" si="1"/>
        <v>1348.5</v>
      </c>
      <c r="F32" s="4">
        <f t="shared" si="0"/>
        <v>107.88</v>
      </c>
      <c r="G32" s="1"/>
    </row>
    <row r="33" spans="1:7" ht="15.75" thickBot="1" x14ac:dyDescent="0.3">
      <c r="A33" s="3">
        <v>32</v>
      </c>
      <c r="B33" s="1" t="s">
        <v>37</v>
      </c>
      <c r="C33" s="4">
        <v>11.75</v>
      </c>
      <c r="D33" s="9">
        <v>130</v>
      </c>
      <c r="E33" s="4">
        <f t="shared" si="1"/>
        <v>1527.5</v>
      </c>
      <c r="F33" s="4">
        <f t="shared" si="0"/>
        <v>122.2</v>
      </c>
      <c r="G33" s="1"/>
    </row>
    <row r="34" spans="1:7" ht="15.75" thickBot="1" x14ac:dyDescent="0.3">
      <c r="A34" s="3">
        <v>33</v>
      </c>
      <c r="B34" s="1" t="s">
        <v>38</v>
      </c>
      <c r="C34" s="4">
        <v>12</v>
      </c>
      <c r="D34" s="9">
        <v>185</v>
      </c>
      <c r="E34" s="4">
        <f t="shared" si="1"/>
        <v>2220</v>
      </c>
      <c r="F34" s="4">
        <f t="shared" si="0"/>
        <v>177.6</v>
      </c>
      <c r="G34" s="1"/>
    </row>
    <row r="35" spans="1:7" ht="15.75" thickBot="1" x14ac:dyDescent="0.3">
      <c r="A35" s="3">
        <v>34</v>
      </c>
      <c r="B35" s="1" t="s">
        <v>39</v>
      </c>
      <c r="C35" s="4">
        <v>19</v>
      </c>
      <c r="D35" s="9">
        <v>152</v>
      </c>
      <c r="E35" s="4">
        <f t="shared" si="1"/>
        <v>2888</v>
      </c>
      <c r="F35" s="4">
        <f t="shared" si="0"/>
        <v>231.04</v>
      </c>
      <c r="G35" s="1"/>
    </row>
    <row r="36" spans="1:7" ht="15.75" thickBot="1" x14ac:dyDescent="0.3">
      <c r="A36" s="3">
        <v>35</v>
      </c>
      <c r="B36" s="1" t="s">
        <v>40</v>
      </c>
      <c r="C36" s="4">
        <v>17</v>
      </c>
      <c r="D36" s="9">
        <v>186</v>
      </c>
      <c r="E36" s="4">
        <f t="shared" si="1"/>
        <v>3162</v>
      </c>
      <c r="F36" s="4">
        <f t="shared" si="0"/>
        <v>252.96</v>
      </c>
      <c r="G36" s="1"/>
    </row>
    <row r="37" spans="1:7" ht="15.75" thickBot="1" x14ac:dyDescent="0.3">
      <c r="A37" s="3">
        <v>36</v>
      </c>
      <c r="B37" s="1" t="s">
        <v>41</v>
      </c>
      <c r="C37" s="4">
        <v>19</v>
      </c>
      <c r="D37" s="9">
        <v>96</v>
      </c>
      <c r="E37" s="4">
        <f t="shared" si="1"/>
        <v>1824</v>
      </c>
      <c r="F37" s="4">
        <f t="shared" si="0"/>
        <v>145.92000000000002</v>
      </c>
      <c r="G37" s="1"/>
    </row>
    <row r="38" spans="1:7" ht="15.75" thickBot="1" x14ac:dyDescent="0.3">
      <c r="A38" s="3">
        <v>37</v>
      </c>
      <c r="B38" s="1" t="s">
        <v>42</v>
      </c>
      <c r="C38" s="4">
        <v>16</v>
      </c>
      <c r="D38" s="9">
        <v>100</v>
      </c>
      <c r="E38" s="4">
        <f t="shared" si="1"/>
        <v>1600</v>
      </c>
      <c r="F38" s="4">
        <f t="shared" si="0"/>
        <v>128</v>
      </c>
      <c r="G38" s="1"/>
    </row>
    <row r="39" spans="1:7" ht="15.75" thickBot="1" x14ac:dyDescent="0.3">
      <c r="A39" s="3">
        <v>38</v>
      </c>
      <c r="B39" s="1" t="s">
        <v>43</v>
      </c>
      <c r="C39" s="4">
        <v>18</v>
      </c>
      <c r="D39" s="9">
        <v>124</v>
      </c>
      <c r="E39" s="4">
        <f t="shared" si="1"/>
        <v>2232</v>
      </c>
      <c r="F39" s="4">
        <f t="shared" si="0"/>
        <v>178.56</v>
      </c>
      <c r="G39" s="1"/>
    </row>
    <row r="40" spans="1:7" ht="15.75" thickBot="1" x14ac:dyDescent="0.3">
      <c r="A40" s="3">
        <v>39</v>
      </c>
      <c r="B40" s="1" t="s">
        <v>44</v>
      </c>
      <c r="C40" s="4">
        <v>15.5</v>
      </c>
      <c r="D40" s="9">
        <v>71</v>
      </c>
      <c r="E40" s="4">
        <f t="shared" si="1"/>
        <v>1100.5</v>
      </c>
      <c r="F40" s="4">
        <f t="shared" si="0"/>
        <v>88.04</v>
      </c>
      <c r="G40" s="1"/>
    </row>
    <row r="41" spans="1:7" ht="15.75" thickBot="1" x14ac:dyDescent="0.3">
      <c r="A41" s="3">
        <v>40</v>
      </c>
      <c r="B41" s="1" t="s">
        <v>45</v>
      </c>
      <c r="C41" s="4">
        <v>14</v>
      </c>
      <c r="D41" s="9">
        <v>83</v>
      </c>
      <c r="E41" s="4">
        <f t="shared" si="1"/>
        <v>1162</v>
      </c>
      <c r="F41" s="4">
        <f t="shared" si="0"/>
        <v>92.960000000000008</v>
      </c>
      <c r="G41" s="1"/>
    </row>
    <row r="42" spans="1:7" ht="15.75" thickBot="1" x14ac:dyDescent="0.3">
      <c r="A42" s="3">
        <v>41</v>
      </c>
      <c r="B42" s="1" t="s">
        <v>46</v>
      </c>
      <c r="C42" s="4">
        <v>12</v>
      </c>
      <c r="D42" s="9">
        <v>168</v>
      </c>
      <c r="E42" s="4">
        <f t="shared" si="1"/>
        <v>2016</v>
      </c>
      <c r="F42" s="4">
        <f t="shared" si="0"/>
        <v>161.28</v>
      </c>
      <c r="G42" s="1"/>
    </row>
    <row r="43" spans="1:7" ht="15.75" thickBot="1" x14ac:dyDescent="0.3">
      <c r="A43" s="3">
        <v>42</v>
      </c>
      <c r="B43" s="1" t="s">
        <v>47</v>
      </c>
      <c r="C43" s="4">
        <v>11</v>
      </c>
      <c r="D43" s="9">
        <v>165</v>
      </c>
      <c r="E43" s="4">
        <f t="shared" si="1"/>
        <v>1815</v>
      </c>
      <c r="F43" s="4">
        <f t="shared" si="0"/>
        <v>145.20000000000002</v>
      </c>
      <c r="G43" s="1"/>
    </row>
    <row r="44" spans="1:7" ht="15.75" thickBot="1" x14ac:dyDescent="0.3">
      <c r="A44" s="3">
        <v>43</v>
      </c>
      <c r="B44" s="1" t="s">
        <v>48</v>
      </c>
      <c r="C44" s="4">
        <v>12</v>
      </c>
      <c r="D44" s="9">
        <v>145</v>
      </c>
      <c r="E44" s="4">
        <f t="shared" si="1"/>
        <v>1740</v>
      </c>
      <c r="F44" s="4">
        <f t="shared" si="0"/>
        <v>139.20000000000002</v>
      </c>
      <c r="G44" s="1"/>
    </row>
    <row r="45" spans="1:7" ht="15.75" thickBot="1" x14ac:dyDescent="0.3">
      <c r="A45" s="3">
        <v>44</v>
      </c>
      <c r="B45" s="1" t="s">
        <v>49</v>
      </c>
      <c r="C45" s="4">
        <v>15.5</v>
      </c>
      <c r="D45" s="9">
        <v>133</v>
      </c>
      <c r="E45" s="4">
        <f t="shared" si="1"/>
        <v>2061.5</v>
      </c>
      <c r="F45" s="4">
        <f t="shared" si="0"/>
        <v>164.92000000000002</v>
      </c>
      <c r="G45" s="1"/>
    </row>
    <row r="46" spans="1:7" ht="15.75" thickBot="1" x14ac:dyDescent="0.3">
      <c r="A46" s="3">
        <v>45</v>
      </c>
      <c r="B46" s="1" t="s">
        <v>50</v>
      </c>
      <c r="C46" s="4">
        <v>11.75</v>
      </c>
      <c r="D46" s="9">
        <v>92</v>
      </c>
      <c r="E46" s="4">
        <f t="shared" si="1"/>
        <v>1081</v>
      </c>
      <c r="F46" s="4">
        <f t="shared" si="0"/>
        <v>86.48</v>
      </c>
      <c r="G46" s="1"/>
    </row>
    <row r="47" spans="1:7" ht="15.75" thickBot="1" x14ac:dyDescent="0.3">
      <c r="A47" s="3">
        <v>46</v>
      </c>
      <c r="B47" s="1" t="s">
        <v>51</v>
      </c>
      <c r="C47" s="4">
        <v>12</v>
      </c>
      <c r="D47" s="9">
        <v>74</v>
      </c>
      <c r="E47" s="4">
        <f t="shared" si="1"/>
        <v>888</v>
      </c>
      <c r="F47" s="4">
        <f t="shared" si="0"/>
        <v>71.040000000000006</v>
      </c>
      <c r="G47" s="1"/>
    </row>
    <row r="48" spans="1:7" ht="15.75" thickBot="1" x14ac:dyDescent="0.3">
      <c r="A48" s="3">
        <v>47</v>
      </c>
      <c r="B48" s="1" t="s">
        <v>52</v>
      </c>
      <c r="C48" s="4">
        <v>19</v>
      </c>
      <c r="D48" s="9">
        <v>201</v>
      </c>
      <c r="E48" s="4">
        <f t="shared" si="1"/>
        <v>3819</v>
      </c>
      <c r="F48" s="4">
        <f t="shared" si="0"/>
        <v>305.52</v>
      </c>
      <c r="G48" s="1"/>
    </row>
    <row r="49" spans="1:7" ht="15.75" thickBot="1" x14ac:dyDescent="0.3">
      <c r="A49" s="3">
        <v>48</v>
      </c>
      <c r="B49" s="1" t="s">
        <v>53</v>
      </c>
      <c r="C49" s="4">
        <v>17</v>
      </c>
      <c r="D49" s="9">
        <v>112</v>
      </c>
      <c r="E49" s="4">
        <f t="shared" si="1"/>
        <v>1904</v>
      </c>
      <c r="F49" s="4">
        <f t="shared" si="0"/>
        <v>152.32</v>
      </c>
      <c r="G49" s="1"/>
    </row>
    <row r="50" spans="1:7" ht="15.75" thickBot="1" x14ac:dyDescent="0.3">
      <c r="A50" s="3">
        <v>49</v>
      </c>
      <c r="B50" s="1" t="s">
        <v>54</v>
      </c>
      <c r="C50" s="4">
        <v>19</v>
      </c>
      <c r="D50" s="9">
        <v>166</v>
      </c>
      <c r="E50" s="4">
        <f t="shared" si="1"/>
        <v>3154</v>
      </c>
      <c r="F50" s="4">
        <f t="shared" si="0"/>
        <v>252.32</v>
      </c>
      <c r="G50" s="1"/>
    </row>
    <row r="51" spans="1:7" ht="15.75" thickBot="1" x14ac:dyDescent="0.3">
      <c r="A51" s="3">
        <v>50</v>
      </c>
      <c r="B51" s="1" t="s">
        <v>55</v>
      </c>
      <c r="C51" s="4">
        <v>16</v>
      </c>
      <c r="D51" s="9">
        <v>160</v>
      </c>
      <c r="E51" s="4">
        <f t="shared" si="1"/>
        <v>2560</v>
      </c>
      <c r="F51" s="4">
        <f t="shared" si="0"/>
        <v>204.8</v>
      </c>
      <c r="G51" s="1"/>
    </row>
    <row r="52" spans="1:7" ht="15.75" thickBot="1" x14ac:dyDescent="0.3">
      <c r="A52" s="3">
        <v>51</v>
      </c>
      <c r="B52" s="1" t="s">
        <v>56</v>
      </c>
      <c r="C52" s="4">
        <v>18</v>
      </c>
      <c r="D52" s="9">
        <v>117</v>
      </c>
      <c r="E52" s="4">
        <f t="shared" si="1"/>
        <v>2106</v>
      </c>
      <c r="F52" s="4">
        <f t="shared" si="0"/>
        <v>168.48</v>
      </c>
      <c r="G52" s="1"/>
    </row>
    <row r="53" spans="1:7" ht="15.75" thickBot="1" x14ac:dyDescent="0.3">
      <c r="A53" s="3">
        <v>52</v>
      </c>
      <c r="B53" s="1" t="s">
        <v>57</v>
      </c>
      <c r="C53" s="4">
        <v>11.5</v>
      </c>
      <c r="D53" s="9">
        <v>152</v>
      </c>
      <c r="E53" s="4">
        <f t="shared" si="1"/>
        <v>1748</v>
      </c>
      <c r="F53" s="4">
        <f t="shared" si="0"/>
        <v>139.84</v>
      </c>
      <c r="G53" s="1"/>
    </row>
    <row r="54" spans="1:7" ht="15.75" thickBot="1" x14ac:dyDescent="0.3">
      <c r="A54" s="3">
        <v>53</v>
      </c>
      <c r="B54" s="1" t="s">
        <v>58</v>
      </c>
      <c r="C54" s="4">
        <v>15.5</v>
      </c>
      <c r="D54" s="9">
        <v>129</v>
      </c>
      <c r="E54" s="4">
        <f t="shared" si="1"/>
        <v>1999.5</v>
      </c>
      <c r="F54" s="4">
        <f t="shared" si="0"/>
        <v>159.96</v>
      </c>
      <c r="G54" s="1"/>
    </row>
    <row r="55" spans="1:7" ht="15.75" thickBot="1" x14ac:dyDescent="0.3">
      <c r="A55" s="3">
        <v>54</v>
      </c>
      <c r="B55" s="1" t="s">
        <v>59</v>
      </c>
      <c r="C55" s="4">
        <v>15.5</v>
      </c>
      <c r="D55" s="9">
        <v>74</v>
      </c>
      <c r="E55" s="4">
        <f t="shared" si="1"/>
        <v>1147</v>
      </c>
      <c r="F55" s="4">
        <f t="shared" si="0"/>
        <v>91.76</v>
      </c>
      <c r="G55" s="1"/>
    </row>
    <row r="56" spans="1:7" ht="15.75" thickBot="1" x14ac:dyDescent="0.3">
      <c r="A56" s="5">
        <v>55</v>
      </c>
      <c r="B56" s="6" t="s">
        <v>60</v>
      </c>
      <c r="C56" s="5">
        <v>12</v>
      </c>
      <c r="D56" s="9">
        <v>111</v>
      </c>
      <c r="E56" s="4">
        <f t="shared" si="1"/>
        <v>1332</v>
      </c>
      <c r="F56" s="4">
        <f t="shared" si="0"/>
        <v>106.56</v>
      </c>
      <c r="G56" s="1"/>
    </row>
    <row r="57" spans="1:7" ht="15.75" thickBot="1" x14ac:dyDescent="0.3">
      <c r="A57" s="3">
        <v>56</v>
      </c>
      <c r="B57" s="1" t="s">
        <v>61</v>
      </c>
      <c r="C57" s="4">
        <v>15.5</v>
      </c>
      <c r="D57" s="9">
        <v>132</v>
      </c>
      <c r="E57" s="4">
        <f t="shared" si="1"/>
        <v>2046</v>
      </c>
      <c r="F57" s="4">
        <f t="shared" si="0"/>
        <v>163.68</v>
      </c>
      <c r="G57" s="1"/>
    </row>
    <row r="58" spans="1:7" ht="15.75" thickBot="1" x14ac:dyDescent="0.3">
      <c r="A58" s="3">
        <v>57</v>
      </c>
      <c r="B58" s="1" t="s">
        <v>62</v>
      </c>
      <c r="C58" s="4">
        <v>11.75</v>
      </c>
      <c r="D58" s="9">
        <v>168</v>
      </c>
      <c r="E58" s="4">
        <f t="shared" si="1"/>
        <v>1974</v>
      </c>
      <c r="F58" s="4">
        <f t="shared" si="0"/>
        <v>157.92000000000002</v>
      </c>
      <c r="G58" s="1"/>
    </row>
    <row r="59" spans="1:7" ht="15.75" thickBot="1" x14ac:dyDescent="0.3">
      <c r="A59" s="3">
        <v>58</v>
      </c>
      <c r="B59" s="1" t="s">
        <v>63</v>
      </c>
      <c r="C59" s="4">
        <v>12</v>
      </c>
      <c r="D59" s="9">
        <v>187</v>
      </c>
      <c r="E59" s="4">
        <f t="shared" si="1"/>
        <v>2244</v>
      </c>
      <c r="F59" s="4">
        <f t="shared" si="0"/>
        <v>179.52</v>
      </c>
      <c r="G59" s="1"/>
    </row>
    <row r="60" spans="1:7" ht="15.75" thickBot="1" x14ac:dyDescent="0.3">
      <c r="A60" s="3">
        <v>59</v>
      </c>
      <c r="B60" s="1" t="s">
        <v>64</v>
      </c>
      <c r="C60" s="4">
        <v>19</v>
      </c>
      <c r="D60" s="9">
        <v>70</v>
      </c>
      <c r="E60" s="4">
        <f t="shared" si="1"/>
        <v>1330</v>
      </c>
      <c r="F60" s="4">
        <f t="shared" si="0"/>
        <v>106.4</v>
      </c>
      <c r="G60" s="1"/>
    </row>
    <row r="61" spans="1:7" ht="15.75" thickBot="1" x14ac:dyDescent="0.3">
      <c r="A61" s="3">
        <v>60</v>
      </c>
      <c r="B61" s="1" t="s">
        <v>65</v>
      </c>
      <c r="C61" s="4">
        <v>17</v>
      </c>
      <c r="D61" s="9">
        <v>138</v>
      </c>
      <c r="E61" s="4">
        <f t="shared" si="1"/>
        <v>2346</v>
      </c>
      <c r="F61" s="4">
        <f t="shared" si="0"/>
        <v>187.68</v>
      </c>
      <c r="G61" s="1"/>
    </row>
    <row r="62" spans="1:7" ht="15.75" thickBot="1" x14ac:dyDescent="0.3">
      <c r="A62" s="5">
        <v>61</v>
      </c>
      <c r="B62" s="6" t="s">
        <v>66</v>
      </c>
      <c r="C62" s="5">
        <v>19</v>
      </c>
      <c r="D62" s="9">
        <v>72</v>
      </c>
      <c r="E62" s="4">
        <f t="shared" si="1"/>
        <v>1368</v>
      </c>
      <c r="F62" s="4">
        <f t="shared" si="0"/>
        <v>109.44</v>
      </c>
      <c r="G62" s="1"/>
    </row>
    <row r="63" spans="1:7" ht="15.75" thickBot="1" x14ac:dyDescent="0.3">
      <c r="A63" s="3">
        <v>62</v>
      </c>
      <c r="B63" s="1" t="s">
        <v>67</v>
      </c>
      <c r="C63" s="4">
        <v>16</v>
      </c>
      <c r="D63" s="9">
        <v>130</v>
      </c>
      <c r="E63" s="4">
        <f t="shared" si="1"/>
        <v>2080</v>
      </c>
      <c r="F63" s="4">
        <f t="shared" si="0"/>
        <v>166.4</v>
      </c>
      <c r="G63" s="1"/>
    </row>
    <row r="64" spans="1:7" ht="15.75" thickBot="1" x14ac:dyDescent="0.3">
      <c r="A64" s="3">
        <v>63</v>
      </c>
      <c r="B64" s="1" t="s">
        <v>68</v>
      </c>
      <c r="C64" s="4">
        <v>18</v>
      </c>
      <c r="D64" s="9">
        <v>208</v>
      </c>
      <c r="E64" s="4">
        <f t="shared" si="1"/>
        <v>3744</v>
      </c>
      <c r="F64" s="4">
        <f t="shared" si="0"/>
        <v>299.52</v>
      </c>
      <c r="G64" s="1"/>
    </row>
    <row r="65" spans="1:7" ht="15.75" thickBot="1" x14ac:dyDescent="0.3">
      <c r="A65" s="3">
        <v>64</v>
      </c>
      <c r="B65" s="1" t="s">
        <v>69</v>
      </c>
      <c r="C65" s="4">
        <v>11</v>
      </c>
      <c r="D65" s="9">
        <v>97</v>
      </c>
      <c r="E65" s="4">
        <f t="shared" si="1"/>
        <v>1067</v>
      </c>
      <c r="F65" s="4">
        <f t="shared" si="0"/>
        <v>85.36</v>
      </c>
      <c r="G65" s="1"/>
    </row>
    <row r="66" spans="1:7" ht="15.75" thickBot="1" x14ac:dyDescent="0.3">
      <c r="A66" s="3">
        <v>65</v>
      </c>
      <c r="B66" s="1" t="s">
        <v>70</v>
      </c>
      <c r="C66" s="4">
        <v>15.5</v>
      </c>
      <c r="D66" s="9">
        <v>199</v>
      </c>
      <c r="E66" s="4">
        <f t="shared" si="1"/>
        <v>3084.5</v>
      </c>
      <c r="F66" s="4">
        <f t="shared" si="0"/>
        <v>246.76000000000002</v>
      </c>
      <c r="G66" s="1"/>
    </row>
    <row r="67" spans="1:7" ht="15.75" thickBot="1" x14ac:dyDescent="0.3">
      <c r="A67" s="3">
        <v>66</v>
      </c>
      <c r="B67" s="1" t="s">
        <v>71</v>
      </c>
      <c r="C67" s="4">
        <v>12</v>
      </c>
      <c r="D67" s="9">
        <v>160</v>
      </c>
      <c r="E67" s="4">
        <f t="shared" si="1"/>
        <v>1920</v>
      </c>
      <c r="F67" s="4">
        <f t="shared" ref="F67:F71" si="2">E67*G$2</f>
        <v>153.6</v>
      </c>
      <c r="G67" s="1"/>
    </row>
    <row r="68" spans="1:7" ht="15.75" thickBot="1" x14ac:dyDescent="0.3">
      <c r="A68" s="3">
        <v>67</v>
      </c>
      <c r="B68" s="1" t="s">
        <v>72</v>
      </c>
      <c r="C68" s="4">
        <v>14</v>
      </c>
      <c r="D68" s="9">
        <v>156</v>
      </c>
      <c r="E68" s="4">
        <f t="shared" ref="E68:E71" si="3">C68*D68</f>
        <v>2184</v>
      </c>
      <c r="F68" s="4">
        <f t="shared" si="2"/>
        <v>174.72</v>
      </c>
      <c r="G68" s="1"/>
    </row>
    <row r="69" spans="1:7" ht="15.75" thickBot="1" x14ac:dyDescent="0.3">
      <c r="A69" s="3">
        <v>68</v>
      </c>
      <c r="B69" s="1" t="s">
        <v>73</v>
      </c>
      <c r="C69" s="4">
        <v>16.5</v>
      </c>
      <c r="D69" s="9">
        <v>117</v>
      </c>
      <c r="E69" s="4">
        <f t="shared" si="3"/>
        <v>1930.5</v>
      </c>
      <c r="F69" s="4">
        <f t="shared" si="2"/>
        <v>154.44</v>
      </c>
      <c r="G69" s="1"/>
    </row>
    <row r="70" spans="1:7" ht="15.75" thickBot="1" x14ac:dyDescent="0.3">
      <c r="A70" s="3">
        <v>69</v>
      </c>
      <c r="B70" s="1" t="s">
        <v>74</v>
      </c>
      <c r="C70" s="4">
        <v>13</v>
      </c>
      <c r="D70" s="9">
        <v>76</v>
      </c>
      <c r="E70" s="4">
        <f t="shared" si="3"/>
        <v>988</v>
      </c>
      <c r="F70" s="4">
        <f t="shared" si="2"/>
        <v>79.040000000000006</v>
      </c>
      <c r="G70" s="1"/>
    </row>
    <row r="71" spans="1:7" ht="15.75" thickBot="1" x14ac:dyDescent="0.3">
      <c r="A71" s="3">
        <v>70</v>
      </c>
      <c r="B71" s="1" t="s">
        <v>75</v>
      </c>
      <c r="C71" s="4">
        <v>19.5</v>
      </c>
      <c r="D71" s="9">
        <v>175</v>
      </c>
      <c r="E71" s="4">
        <f t="shared" si="3"/>
        <v>3412.5</v>
      </c>
      <c r="F71" s="4">
        <f t="shared" si="2"/>
        <v>273</v>
      </c>
      <c r="G71" s="1"/>
    </row>
    <row r="72" spans="1:7" x14ac:dyDescent="0.25">
      <c r="C72" s="8" t="s">
        <v>77</v>
      </c>
      <c r="D72" s="10">
        <f>SUM(D2:D71)</f>
        <v>9367</v>
      </c>
      <c r="E72">
        <f>SUM(E2:E71)</f>
        <v>145795.20000000001</v>
      </c>
      <c r="F72">
        <f>SUM(F2:F71)</f>
        <v>11663.616</v>
      </c>
    </row>
    <row r="73" spans="1:7" x14ac:dyDescent="0.25">
      <c r="C73" s="8" t="s">
        <v>78</v>
      </c>
      <c r="D73" s="10">
        <f>AVERAGE(D2:D71)</f>
        <v>133.81428571428572</v>
      </c>
      <c r="E73">
        <f>AVERAGE(E2:E71)</f>
        <v>2082.7885714285717</v>
      </c>
      <c r="F73">
        <f>AVERAGE(F2:F71)</f>
        <v>166.62308571428571</v>
      </c>
    </row>
    <row r="74" spans="1:7" x14ac:dyDescent="0.25">
      <c r="C74" s="8"/>
      <c r="D74" s="8"/>
      <c r="E74" s="8"/>
    </row>
    <row r="75" spans="1:7" x14ac:dyDescent="0.25">
      <c r="C75" s="8"/>
      <c r="D75" s="8"/>
      <c r="E75" s="8"/>
    </row>
    <row r="76" spans="1:7" x14ac:dyDescent="0.25">
      <c r="C76" s="8" t="s">
        <v>76</v>
      </c>
      <c r="D76">
        <f>COUNT(D2:D71)</f>
        <v>70</v>
      </c>
      <c r="E76">
        <f>COUNT(E2:E71)</f>
        <v>70</v>
      </c>
      <c r="F76">
        <f>COUNT(F2:F71)</f>
        <v>70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2026-02-21T20:46:47Z</dcterms:created>
  <dcterms:modified xsi:type="dcterms:W3CDTF">2026-02-22T15:01:09Z</dcterms:modified>
</cp:coreProperties>
</file>